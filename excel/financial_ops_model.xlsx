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Financial Model" sheetId="2" state="visible" r:id="rId2"/>
    <sheet xmlns:r="http://schemas.openxmlformats.org/officeDocument/2006/relationships" name="Delivery SLA What-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0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&amp; 3-Month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Model'!C1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Model'!$A$2:$A$24</f>
            </numRef>
          </cat>
          <val>
            <numRef>
              <f>'Financial Model'!$C$2:$C$24</f>
            </numRef>
          </val>
        </ser>
        <ser>
          <idx val="1"/>
          <order val="1"/>
          <tx>
            <strRef>
              <f>'Financial Model'!F1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Model'!$A$2:$A$24</f>
            </numRef>
          </cat>
          <val>
            <numRef>
              <f>'Financial Model'!$F$2:$F$24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8" customWidth="1" min="4" max="4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Product Revenue (R$)</t>
        </is>
      </c>
      <c r="D1" s="1" t="inlineStr">
        <is>
          <t>Freight Cost (R$)</t>
        </is>
      </c>
    </row>
    <row r="2">
      <c r="A2" s="2" t="n">
        <v>42736</v>
      </c>
      <c r="B2" t="n">
        <v>787</v>
      </c>
      <c r="C2" t="n">
        <v>120098.27</v>
      </c>
      <c r="D2" t="n">
        <v>16845.19</v>
      </c>
    </row>
    <row r="3">
      <c r="A3" s="2" t="n">
        <v>42767</v>
      </c>
      <c r="B3" t="n">
        <v>1718</v>
      </c>
      <c r="C3" t="n">
        <v>244959.35</v>
      </c>
      <c r="D3" t="n">
        <v>38602.34</v>
      </c>
    </row>
    <row r="4">
      <c r="A4" s="2" t="n">
        <v>42795</v>
      </c>
      <c r="B4" t="n">
        <v>2617</v>
      </c>
      <c r="C4" t="n">
        <v>368341.32</v>
      </c>
      <c r="D4" t="n">
        <v>57276.64</v>
      </c>
    </row>
    <row r="5">
      <c r="A5" s="2" t="n">
        <v>42826</v>
      </c>
      <c r="B5" t="n">
        <v>2377</v>
      </c>
      <c r="C5" t="n">
        <v>353842.98</v>
      </c>
      <c r="D5" t="n">
        <v>52005.63</v>
      </c>
    </row>
    <row r="6">
      <c r="A6" s="2" t="n">
        <v>42856</v>
      </c>
      <c r="B6" t="n">
        <v>3640</v>
      </c>
      <c r="C6" t="n">
        <v>503159.19</v>
      </c>
      <c r="D6" t="n">
        <v>79551.64</v>
      </c>
    </row>
    <row r="7">
      <c r="A7" s="2" t="n">
        <v>42887</v>
      </c>
      <c r="B7" t="n">
        <v>3205</v>
      </c>
      <c r="C7" t="n">
        <v>429916.61</v>
      </c>
      <c r="D7" t="n">
        <v>69735.63</v>
      </c>
    </row>
    <row r="8">
      <c r="A8" s="2" t="n">
        <v>42917</v>
      </c>
      <c r="B8" t="n">
        <v>3946</v>
      </c>
      <c r="C8" t="n">
        <v>492287.3</v>
      </c>
      <c r="D8" t="n">
        <v>86466.42999999999</v>
      </c>
    </row>
    <row r="9">
      <c r="A9" s="2" t="n">
        <v>42948</v>
      </c>
      <c r="B9" t="n">
        <v>4272</v>
      </c>
      <c r="C9" t="n">
        <v>568245.79</v>
      </c>
      <c r="D9" t="n">
        <v>93657.73</v>
      </c>
    </row>
    <row r="10">
      <c r="A10" s="2" t="n">
        <v>42979</v>
      </c>
      <c r="B10" t="n">
        <v>4227</v>
      </c>
      <c r="C10" t="n">
        <v>621415.91</v>
      </c>
      <c r="D10" t="n">
        <v>95686.81</v>
      </c>
    </row>
    <row r="11">
      <c r="A11" s="2" t="n">
        <v>43009</v>
      </c>
      <c r="B11" t="n">
        <v>4547</v>
      </c>
      <c r="C11" t="n">
        <v>660179.62</v>
      </c>
      <c r="D11" t="n">
        <v>104576.41</v>
      </c>
    </row>
    <row r="12">
      <c r="A12" s="2" t="n">
        <v>43040</v>
      </c>
      <c r="B12" t="n">
        <v>7421</v>
      </c>
      <c r="C12" t="n">
        <v>1003862.14</v>
      </c>
      <c r="D12" t="n">
        <v>168329.54</v>
      </c>
    </row>
    <row r="13">
      <c r="A13" s="2" t="n">
        <v>43070</v>
      </c>
      <c r="B13" t="n">
        <v>5618</v>
      </c>
      <c r="C13" t="n">
        <v>742183.79</v>
      </c>
      <c r="D13" t="n">
        <v>119342.98</v>
      </c>
    </row>
    <row r="14">
      <c r="A14" s="2" t="n">
        <v>43101</v>
      </c>
      <c r="B14" t="n">
        <v>7187</v>
      </c>
      <c r="C14" t="n">
        <v>945456.29</v>
      </c>
      <c r="D14" t="n">
        <v>156463.72</v>
      </c>
    </row>
    <row r="15">
      <c r="A15" s="2" t="n">
        <v>43132</v>
      </c>
      <c r="B15" t="n">
        <v>6624</v>
      </c>
      <c r="C15" t="n">
        <v>837895.4300000001</v>
      </c>
      <c r="D15" t="n">
        <v>141590.73</v>
      </c>
    </row>
    <row r="16">
      <c r="A16" s="2" t="n">
        <v>43160</v>
      </c>
      <c r="B16" t="n">
        <v>7168</v>
      </c>
      <c r="C16" t="n">
        <v>981051.0600000001</v>
      </c>
      <c r="D16" t="n">
        <v>171605.93</v>
      </c>
    </row>
    <row r="17">
      <c r="A17" s="2" t="n">
        <v>43191</v>
      </c>
      <c r="B17" t="n">
        <v>6919</v>
      </c>
      <c r="C17" t="n">
        <v>993592.98</v>
      </c>
      <c r="D17" t="n">
        <v>162655.91</v>
      </c>
    </row>
    <row r="18">
      <c r="A18" s="2" t="n">
        <v>43221</v>
      </c>
      <c r="B18" t="n">
        <v>6833</v>
      </c>
      <c r="C18" t="n">
        <v>992871.75</v>
      </c>
      <c r="D18" t="n">
        <v>152814.71</v>
      </c>
    </row>
    <row r="19">
      <c r="A19" s="2" t="n">
        <v>43252</v>
      </c>
      <c r="B19" t="n">
        <v>6145</v>
      </c>
      <c r="C19" t="n">
        <v>863265.53</v>
      </c>
      <c r="D19" t="n">
        <v>157116.37</v>
      </c>
    </row>
    <row r="20">
      <c r="A20" s="2" t="n">
        <v>43282</v>
      </c>
      <c r="B20" t="n">
        <v>6233</v>
      </c>
      <c r="C20" t="n">
        <v>878044.27</v>
      </c>
      <c r="D20" t="n">
        <v>161739.31</v>
      </c>
    </row>
    <row r="21">
      <c r="A21" s="2" t="n">
        <v>43313</v>
      </c>
      <c r="B21" t="n">
        <v>6421</v>
      </c>
      <c r="C21" t="n">
        <v>848860.1</v>
      </c>
      <c r="D21" t="n">
        <v>148113.41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4" customWidth="1" min="4" max="4"/>
    <col width="20" customWidth="1" min="5" max="5"/>
    <col width="24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Total Revenue (R$)</t>
        </is>
      </c>
      <c r="D1" s="1" t="inlineStr">
        <is>
          <t>MoM Growth %</t>
        </is>
      </c>
      <c r="E1" s="1" t="inlineStr">
        <is>
          <t>Freight % of Revenue</t>
        </is>
      </c>
      <c r="F1" s="1" t="inlineStr">
        <is>
          <t>3-Mo Forecast Revenue (R$)</t>
        </is>
      </c>
      <c r="G1" t="inlineStr">
        <is>
          <t>Month Index</t>
        </is>
      </c>
    </row>
    <row r="2">
      <c r="A2" s="2">
        <f>'Monthly Data'!A2</f>
        <v/>
      </c>
      <c r="B2">
        <f>'Monthly Data'!B2</f>
        <v/>
      </c>
      <c r="C2" s="3">
        <f>('Monthly Data'!C2+'Monthly Data'!D2)</f>
        <v/>
      </c>
      <c r="E2" s="4">
        <f>IFERROR('Monthly Data'!D2/('Monthly Data'!C2+'Monthly Data'!D2),"")</f>
        <v/>
      </c>
      <c r="G2" t="n">
        <v>1</v>
      </c>
    </row>
    <row r="3">
      <c r="A3" s="2">
        <f>'Monthly Data'!A3</f>
        <v/>
      </c>
      <c r="B3">
        <f>'Monthly Data'!B3</f>
        <v/>
      </c>
      <c r="C3" s="3">
        <f>('Monthly Data'!C3+'Monthly Data'!D3)</f>
        <v/>
      </c>
      <c r="D3" s="4">
        <f>IFERROR((C3-C2)/C2,"")</f>
        <v/>
      </c>
      <c r="E3" s="4">
        <f>IFERROR('Monthly Data'!D3/('Monthly Data'!C3+'Monthly Data'!D3),"")</f>
        <v/>
      </c>
      <c r="G3" t="n">
        <v>2</v>
      </c>
    </row>
    <row r="4">
      <c r="A4" s="2">
        <f>'Monthly Data'!A4</f>
        <v/>
      </c>
      <c r="B4">
        <f>'Monthly Data'!B4</f>
        <v/>
      </c>
      <c r="C4" s="3">
        <f>('Monthly Data'!C4+'Monthly Data'!D4)</f>
        <v/>
      </c>
      <c r="D4" s="4">
        <f>IFERROR((C4-C3)/C3,"")</f>
        <v/>
      </c>
      <c r="E4" s="4">
        <f>IFERROR('Monthly Data'!D4/('Monthly Data'!C4+'Monthly Data'!D4),"")</f>
        <v/>
      </c>
      <c r="G4" t="n">
        <v>3</v>
      </c>
    </row>
    <row r="5">
      <c r="A5" s="2">
        <f>'Monthly Data'!A5</f>
        <v/>
      </c>
      <c r="B5">
        <f>'Monthly Data'!B5</f>
        <v/>
      </c>
      <c r="C5" s="3">
        <f>('Monthly Data'!C5+'Monthly Data'!D5)</f>
        <v/>
      </c>
      <c r="D5" s="4">
        <f>IFERROR((C5-C4)/C4,"")</f>
        <v/>
      </c>
      <c r="E5" s="4">
        <f>IFERROR('Monthly Data'!D5/('Monthly Data'!C5+'Monthly Data'!D5),"")</f>
        <v/>
      </c>
      <c r="G5" t="n">
        <v>4</v>
      </c>
    </row>
    <row r="6">
      <c r="A6" s="2">
        <f>'Monthly Data'!A6</f>
        <v/>
      </c>
      <c r="B6">
        <f>'Monthly Data'!B6</f>
        <v/>
      </c>
      <c r="C6" s="3">
        <f>('Monthly Data'!C6+'Monthly Data'!D6)</f>
        <v/>
      </c>
      <c r="D6" s="4">
        <f>IFERROR((C6-C5)/C5,"")</f>
        <v/>
      </c>
      <c r="E6" s="4">
        <f>IFERROR('Monthly Data'!D6/('Monthly Data'!C6+'Monthly Data'!D6),"")</f>
        <v/>
      </c>
      <c r="G6" t="n">
        <v>5</v>
      </c>
    </row>
    <row r="7">
      <c r="A7" s="2">
        <f>'Monthly Data'!A7</f>
        <v/>
      </c>
      <c r="B7">
        <f>'Monthly Data'!B7</f>
        <v/>
      </c>
      <c r="C7" s="3">
        <f>('Monthly Data'!C7+'Monthly Data'!D7)</f>
        <v/>
      </c>
      <c r="D7" s="4">
        <f>IFERROR((C7-C6)/C6,"")</f>
        <v/>
      </c>
      <c r="E7" s="4">
        <f>IFERROR('Monthly Data'!D7/('Monthly Data'!C7+'Monthly Data'!D7),"")</f>
        <v/>
      </c>
      <c r="G7" t="n">
        <v>6</v>
      </c>
    </row>
    <row r="8">
      <c r="A8" s="2">
        <f>'Monthly Data'!A8</f>
        <v/>
      </c>
      <c r="B8">
        <f>'Monthly Data'!B8</f>
        <v/>
      </c>
      <c r="C8" s="3">
        <f>('Monthly Data'!C8+'Monthly Data'!D8)</f>
        <v/>
      </c>
      <c r="D8" s="4">
        <f>IFERROR((C8-C7)/C7,"")</f>
        <v/>
      </c>
      <c r="E8" s="4">
        <f>IFERROR('Monthly Data'!D8/('Monthly Data'!C8+'Monthly Data'!D8),"")</f>
        <v/>
      </c>
      <c r="G8" t="n">
        <v>7</v>
      </c>
    </row>
    <row r="9">
      <c r="A9" s="2">
        <f>'Monthly Data'!A9</f>
        <v/>
      </c>
      <c r="B9">
        <f>'Monthly Data'!B9</f>
        <v/>
      </c>
      <c r="C9" s="3">
        <f>('Monthly Data'!C9+'Monthly Data'!D9)</f>
        <v/>
      </c>
      <c r="D9" s="4">
        <f>IFERROR((C9-C8)/C8,"")</f>
        <v/>
      </c>
      <c r="E9" s="4">
        <f>IFERROR('Monthly Data'!D9/('Monthly Data'!C9+'Monthly Data'!D9),"")</f>
        <v/>
      </c>
      <c r="G9" t="n">
        <v>8</v>
      </c>
    </row>
    <row r="10">
      <c r="A10" s="2">
        <f>'Monthly Data'!A10</f>
        <v/>
      </c>
      <c r="B10">
        <f>'Monthly Data'!B10</f>
        <v/>
      </c>
      <c r="C10" s="3">
        <f>('Monthly Data'!C10+'Monthly Data'!D10)</f>
        <v/>
      </c>
      <c r="D10" s="4">
        <f>IFERROR((C10-C9)/C9,"")</f>
        <v/>
      </c>
      <c r="E10" s="4">
        <f>IFERROR('Monthly Data'!D10/('Monthly Data'!C10+'Monthly Data'!D10),"")</f>
        <v/>
      </c>
      <c r="G10" t="n">
        <v>9</v>
      </c>
    </row>
    <row r="11">
      <c r="A11" s="2">
        <f>'Monthly Data'!A11</f>
        <v/>
      </c>
      <c r="B11">
        <f>'Monthly Data'!B11</f>
        <v/>
      </c>
      <c r="C11" s="3">
        <f>('Monthly Data'!C11+'Monthly Data'!D11)</f>
        <v/>
      </c>
      <c r="D11" s="4">
        <f>IFERROR((C11-C10)/C10,"")</f>
        <v/>
      </c>
      <c r="E11" s="4">
        <f>IFERROR('Monthly Data'!D11/('Monthly Data'!C11+'Monthly Data'!D11),"")</f>
        <v/>
      </c>
      <c r="G11" t="n">
        <v>10</v>
      </c>
    </row>
    <row r="12">
      <c r="A12" s="2">
        <f>'Monthly Data'!A12</f>
        <v/>
      </c>
      <c r="B12">
        <f>'Monthly Data'!B12</f>
        <v/>
      </c>
      <c r="C12" s="3">
        <f>('Monthly Data'!C12+'Monthly Data'!D12)</f>
        <v/>
      </c>
      <c r="D12" s="4">
        <f>IFERROR((C12-C11)/C11,"")</f>
        <v/>
      </c>
      <c r="E12" s="4">
        <f>IFERROR('Monthly Data'!D12/('Monthly Data'!C12+'Monthly Data'!D12),"")</f>
        <v/>
      </c>
      <c r="G12" t="n">
        <v>11</v>
      </c>
    </row>
    <row r="13">
      <c r="A13" s="2">
        <f>'Monthly Data'!A13</f>
        <v/>
      </c>
      <c r="B13">
        <f>'Monthly Data'!B13</f>
        <v/>
      </c>
      <c r="C13" s="3">
        <f>('Monthly Data'!C13+'Monthly Data'!D13)</f>
        <v/>
      </c>
      <c r="D13" s="4">
        <f>IFERROR((C13-C12)/C12,"")</f>
        <v/>
      </c>
      <c r="E13" s="4">
        <f>IFERROR('Monthly Data'!D13/('Monthly Data'!C13+'Monthly Data'!D13),"")</f>
        <v/>
      </c>
      <c r="G13" t="n">
        <v>12</v>
      </c>
    </row>
    <row r="14">
      <c r="A14" s="2">
        <f>'Monthly Data'!A14</f>
        <v/>
      </c>
      <c r="B14">
        <f>'Monthly Data'!B14</f>
        <v/>
      </c>
      <c r="C14" s="3">
        <f>('Monthly Data'!C14+'Monthly Data'!D14)</f>
        <v/>
      </c>
      <c r="D14" s="4">
        <f>IFERROR((C14-C13)/C13,"")</f>
        <v/>
      </c>
      <c r="E14" s="4">
        <f>IFERROR('Monthly Data'!D14/('Monthly Data'!C14+'Monthly Data'!D14),"")</f>
        <v/>
      </c>
      <c r="G14" t="n">
        <v>13</v>
      </c>
    </row>
    <row r="15">
      <c r="A15" s="2">
        <f>'Monthly Data'!A15</f>
        <v/>
      </c>
      <c r="B15">
        <f>'Monthly Data'!B15</f>
        <v/>
      </c>
      <c r="C15" s="3">
        <f>('Monthly Data'!C15+'Monthly Data'!D15)</f>
        <v/>
      </c>
      <c r="D15" s="4">
        <f>IFERROR((C15-C14)/C14,"")</f>
        <v/>
      </c>
      <c r="E15" s="4">
        <f>IFERROR('Monthly Data'!D15/('Monthly Data'!C15+'Monthly Data'!D15),"")</f>
        <v/>
      </c>
      <c r="G15" t="n">
        <v>14</v>
      </c>
    </row>
    <row r="16">
      <c r="A16" s="2">
        <f>'Monthly Data'!A16</f>
        <v/>
      </c>
      <c r="B16">
        <f>'Monthly Data'!B16</f>
        <v/>
      </c>
      <c r="C16" s="3">
        <f>('Monthly Data'!C16+'Monthly Data'!D16)</f>
        <v/>
      </c>
      <c r="D16" s="4">
        <f>IFERROR((C16-C15)/C15,"")</f>
        <v/>
      </c>
      <c r="E16" s="4">
        <f>IFERROR('Monthly Data'!D16/('Monthly Data'!C16+'Monthly Data'!D16),"")</f>
        <v/>
      </c>
      <c r="G16" t="n">
        <v>15</v>
      </c>
    </row>
    <row r="17">
      <c r="A17" s="2">
        <f>'Monthly Data'!A17</f>
        <v/>
      </c>
      <c r="B17">
        <f>'Monthly Data'!B17</f>
        <v/>
      </c>
      <c r="C17" s="3">
        <f>('Monthly Data'!C17+'Monthly Data'!D17)</f>
        <v/>
      </c>
      <c r="D17" s="4">
        <f>IFERROR((C17-C16)/C16,"")</f>
        <v/>
      </c>
      <c r="E17" s="4">
        <f>IFERROR('Monthly Data'!D17/('Monthly Data'!C17+'Monthly Data'!D17),"")</f>
        <v/>
      </c>
      <c r="G17" t="n">
        <v>16</v>
      </c>
    </row>
    <row r="18">
      <c r="A18" s="2">
        <f>'Monthly Data'!A18</f>
        <v/>
      </c>
      <c r="B18">
        <f>'Monthly Data'!B18</f>
        <v/>
      </c>
      <c r="C18" s="3">
        <f>('Monthly Data'!C18+'Monthly Data'!D18)</f>
        <v/>
      </c>
      <c r="D18" s="4">
        <f>IFERROR((C18-C17)/C17,"")</f>
        <v/>
      </c>
      <c r="E18" s="4">
        <f>IFERROR('Monthly Data'!D18/('Monthly Data'!C18+'Monthly Data'!D18),"")</f>
        <v/>
      </c>
      <c r="G18" t="n">
        <v>17</v>
      </c>
    </row>
    <row r="19">
      <c r="A19" s="2">
        <f>'Monthly Data'!A19</f>
        <v/>
      </c>
      <c r="B19">
        <f>'Monthly Data'!B19</f>
        <v/>
      </c>
      <c r="C19" s="3">
        <f>('Monthly Data'!C19+'Monthly Data'!D19)</f>
        <v/>
      </c>
      <c r="D19" s="4">
        <f>IFERROR((C19-C18)/C18,"")</f>
        <v/>
      </c>
      <c r="E19" s="4">
        <f>IFERROR('Monthly Data'!D19/('Monthly Data'!C19+'Monthly Data'!D19),"")</f>
        <v/>
      </c>
      <c r="G19" t="n">
        <v>18</v>
      </c>
    </row>
    <row r="20">
      <c r="A20" s="2">
        <f>'Monthly Data'!A20</f>
        <v/>
      </c>
      <c r="B20">
        <f>'Monthly Data'!B20</f>
        <v/>
      </c>
      <c r="C20" s="3">
        <f>('Monthly Data'!C20+'Monthly Data'!D20)</f>
        <v/>
      </c>
      <c r="D20" s="4">
        <f>IFERROR((C20-C19)/C19,"")</f>
        <v/>
      </c>
      <c r="E20" s="4">
        <f>IFERROR('Monthly Data'!D20/('Monthly Data'!C20+'Monthly Data'!D20),"")</f>
        <v/>
      </c>
      <c r="G20" t="n">
        <v>19</v>
      </c>
    </row>
    <row r="21">
      <c r="A21" s="2">
        <f>'Monthly Data'!A21</f>
        <v/>
      </c>
      <c r="B21">
        <f>'Monthly Data'!B21</f>
        <v/>
      </c>
      <c r="C21" s="3">
        <f>('Monthly Data'!C21+'Monthly Data'!D21)</f>
        <v/>
      </c>
      <c r="D21" s="4">
        <f>IFERROR((C21-C20)/C20,"")</f>
        <v/>
      </c>
      <c r="E21" s="4">
        <f>IFERROR('Monthly Data'!D21/('Monthly Data'!C21+'Monthly Data'!D21),"")</f>
        <v/>
      </c>
      <c r="G21" t="n">
        <v>20</v>
      </c>
    </row>
    <row r="22">
      <c r="A22" s="2">
        <f>EDATE($A$21,1)</f>
        <v/>
      </c>
      <c r="F22" s="3">
        <f>TREND($C$2:$C$21,$G$2:$G$21,G22)</f>
        <v/>
      </c>
      <c r="G22">
        <f>20+1</f>
        <v/>
      </c>
    </row>
    <row r="23">
      <c r="A23" s="2">
        <f>EDATE($A$21,2)</f>
        <v/>
      </c>
      <c r="F23" s="3">
        <f>TREND($C$2:$C$21,$G$2:$G$21,G23)</f>
        <v/>
      </c>
      <c r="G23">
        <f>20+2</f>
        <v/>
      </c>
    </row>
    <row r="24">
      <c r="A24" s="2">
        <f>EDATE($A$21,3)</f>
        <v/>
      </c>
      <c r="F24" s="3">
        <f>TREND($C$2:$C$21,$G$2:$G$21,G24)</f>
        <v/>
      </c>
      <c r="G24">
        <f>20+3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5" t="inlineStr">
        <is>
          <t>Delivery SLA - Revenue-at-Risk Model</t>
        </is>
      </c>
    </row>
    <row r="3">
      <c r="A3" t="inlineStr">
        <is>
          <t>Delivered orders (actual)</t>
        </is>
      </c>
      <c r="B3" t="n">
        <v>96470</v>
      </c>
    </row>
    <row r="4">
      <c r="A4" t="inlineStr">
        <is>
          <t>Late-delivered orders (actual)</t>
        </is>
      </c>
      <c r="B4" t="n">
        <v>7826</v>
      </c>
    </row>
    <row r="5">
      <c r="A5" t="inlineStr">
        <is>
          <t>Current late-delivery rate</t>
        </is>
      </c>
      <c r="B5" s="4">
        <f>B4/B3</f>
        <v/>
      </c>
    </row>
    <row r="6">
      <c r="A6" t="inlineStr">
        <is>
          <t>Average order value (R$)</t>
        </is>
      </c>
      <c r="B6" t="n">
        <v>159.83</v>
      </c>
    </row>
    <row r="7">
      <c r="A7" t="inlineStr"/>
    </row>
    <row r="8">
      <c r="A8" t="inlineStr">
        <is>
          <t>--- Adjustable Inputs ---</t>
        </is>
      </c>
    </row>
    <row r="9">
      <c r="A9" t="inlineStr">
        <is>
          <t>Target late-delivery rate</t>
        </is>
      </c>
      <c r="B9" s="6" t="n">
        <v>0.05</v>
      </c>
    </row>
    <row r="10">
      <c r="A10" t="inlineStr">
        <is>
          <t>Est. repeat-purchase loss per late delivery (%)</t>
        </is>
      </c>
      <c r="B10" s="6" t="n">
        <v>0.15</v>
      </c>
    </row>
    <row r="11">
      <c r="A11" t="inlineStr">
        <is>
          <t>Est. avg customer lifetime orders</t>
        </is>
      </c>
      <c r="B11" t="n">
        <v>2.5</v>
      </c>
    </row>
    <row r="13">
      <c r="A13" s="7" t="inlineStr">
        <is>
          <t>--- Model Output ---</t>
        </is>
      </c>
    </row>
    <row r="14">
      <c r="A14" t="inlineStr">
        <is>
          <t>Orders that need to shift from 'late' to 'on-time'</t>
        </is>
      </c>
      <c r="B14" s="8">
        <f>MAX(B4-(B9*B3),0)</f>
        <v/>
      </c>
    </row>
    <row r="15">
      <c r="A15" t="inlineStr">
        <is>
          <t>Revenue currently at risk from late deliveries (R$)</t>
        </is>
      </c>
      <c r="B15" s="3">
        <f>B4*B6*B10*B11</f>
        <v/>
      </c>
    </row>
    <row r="16">
      <c r="A16" t="inlineStr">
        <is>
          <t>Revenue recovered if target SLA is hit (R$)</t>
        </is>
      </c>
      <c r="B16" s="3">
        <f>B14*B6*B10*B11</f>
        <v/>
      </c>
    </row>
    <row r="19">
      <c r="A19" s="9" t="inlineStr">
        <is>
          <t>Model logic: revenue-at-risk = (late orders) x (repeat-purchase-loss %) x (avg customer lifetime orders) x (avg order value). Change the yellow input cells (target SLA %, assumed loss rate) to re-run the scenario live.</t>
        </is>
      </c>
    </row>
    <row r="20"/>
    <row r="21"/>
  </sheetData>
  <mergeCells count="1">
    <mergeCell ref="A19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2026-09-21T12:53:07Z</dcterms:created>
  <dcterms:modified xmlns:dcterms="http://purl.org/dc/terms/" xmlns:xsi="http://www.w3.org/2001/XMLSchema-instance" xsi:type="dcterms:W3CDTF">2026-09-21T12:53:08Z</dcterms:modified>
</cp:coreProperties>
</file>